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91ee386de4f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1bb3cb9eb2044c21"/>
  </x:sheets>
  <x:calcPr calcMode="auto" fullCalcOnLoad="1" forceFullCalc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b3cb9eb2044c21" />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B1" t="inlineStr">
        <x:is>
          <x:t>apple</x:t>
        </x:is>
      </x:c>
      <x:c r="C1">
        <x:v>46301</x:v>
      </x:c>
      <x:c r="E1" t="inlineStr">
        <x:is>
          <x:t>x</x:t>
        </x:is>
      </x:c>
      <x:c r="F1">
        <x:v>100</x:v>
      </x:c>
      <x:c r="G1">
        <x:v>2</x:v>
      </x:c>
      <x:c r="Z1">
        <x:f>SUM(A1:A5)</x:f>
        <x:v>15</x:v>
      </x:c>
    </x:row>
    <x:row r="2">
      <x:c r="A2">
        <x:v>2</x:v>
      </x:c>
      <x:c r="B2" t="inlineStr">
        <x:is>
          <x:t>Banana</x:t>
        </x:is>
      </x:c>
      <x:c r="C2">
        <x:v>46053</x:v>
      </x:c>
      <x:c r="E2" t="inlineStr">
        <x:is>
          <x:t>y</x:t>
        </x:is>
      </x:c>
      <x:c r="F2">
        <x:v>200</x:v>
      </x:c>
      <x:c r="G2">
        <x:v>4</x:v>
      </x:c>
      <x:c r="Z2">
        <x:f>AVERAGE(A1:A5)</x:f>
        <x:v>3</x:v>
      </x:c>
    </x:row>
    <x:row r="3">
      <x:c r="A3">
        <x:v>3</x:v>
      </x:c>
      <x:c r="B3" t="inlineStr">
        <x:is>
          <x:t>  cherry  </x:t>
        </x:is>
      </x:c>
      <x:c r="E3" t="inlineStr">
        <x:is>
          <x:t>z</x:t>
        </x:is>
      </x:c>
      <x:c r="F3">
        <x:v>300</x:v>
      </x:c>
      <x:c r="G3">
        <x:v>6</x:v>
      </x:c>
      <x:c r="Z3">
        <x:f>MIN(A1:A5)</x:f>
        <x:v>1</x:v>
      </x:c>
    </x:row>
    <x:row r="4">
      <x:c r="A4">
        <x:v>4</x:v>
      </x:c>
      <x:c r="B4" t="inlineStr">
        <x:is>
          <x:t>a,b,c</x:t>
        </x:is>
      </x:c>
      <x:c r="G4">
        <x:v>8</x:v>
      </x:c>
      <x:c r="Z4">
        <x:f>MAX(A1:A5)</x:f>
        <x:v>5</x:v>
      </x:c>
    </x:row>
    <x:row r="5">
      <x:c r="A5">
        <x:v>5</x:v>
      </x:c>
      <x:c r="G5">
        <x:v>10</x:v>
      </x:c>
      <x:c r="Z5">
        <x:f>COUNT(A1:A6)</x:f>
        <x:v>6</x:v>
      </x:c>
    </x:row>
    <x:row r="6">
      <x:c r="A6">
        <x:v>10.5</x:v>
      </x:c>
      <x:c r="H6" t="inlineStr">
        <x:is>
          <x:t>a</x:t>
        </x:is>
      </x:c>
      <x:c r="I6" t="inlineStr">
        <x:is>
          <x:t>b</x:t>
        </x:is>
      </x:c>
      <x:c r="Z6">
        <x:f>COUNTA(B1:B4)</x:f>
        <x:v>4</x:v>
      </x:c>
    </x:row>
    <x:row r="7">
      <x:c r="H7">
        <x:v>1</x:v>
      </x:c>
      <x:c r="I7">
        <x:v>2</x:v>
      </x:c>
      <x:c r="Z7">
        <x:f>COUNTBLANK(A7:A9)</x:f>
        <x:v>3</x:v>
      </x:c>
    </x:row>
    <x:row r="8">
      <x:c r="Z8">
        <x:f>ROUND(2.567,2)</x:f>
        <x:v>2.57</x:v>
      </x:c>
    </x:row>
    <x:row r="9">
      <x:c r="Z9">
        <x:f>ROUNDUP(2.561,2)</x:f>
        <x:v>2.57</x:v>
      </x:c>
    </x:row>
    <x:row r="10">
      <x:c r="Z10">
        <x:f>ROUNDDOWN(2.569,2)</x:f>
        <x:v>2.56</x:v>
      </x:c>
    </x:row>
    <x:row r="11">
      <x:c r="Z11">
        <x:f>INT(-2.5)</x:f>
        <x:v>-3</x:v>
      </x:c>
    </x:row>
    <x:row r="12">
      <x:c r="Z12">
        <x:f>MOD(10,3)</x:f>
        <x:v>1</x:v>
      </x:c>
    </x:row>
    <x:row r="13">
      <x:c r="Z13">
        <x:f>ABS(-4)</x:f>
        <x:v>4</x:v>
      </x:c>
    </x:row>
    <x:row r="14">
      <x:c r="Z14">
        <x:f>POWER(2,10)</x:f>
        <x:v>1024</x:v>
      </x:c>
    </x:row>
    <x:row r="15">
      <x:c r="Z15">
        <x:f>SQRT(16)</x:f>
        <x:v>4</x:v>
      </x:c>
    </x:row>
    <x:row r="16">
      <x:c r="Z16">
        <x:f>PRODUCT(A1:A5)</x:f>
        <x:v>120</x:v>
      </x:c>
    </x:row>
    <x:row r="17">
      <x:c r="Z17">
        <x:f>SUMPRODUCT(A1:A3,A3:A5)</x:f>
        <x:v>26</x:v>
      </x:c>
    </x:row>
    <x:row r="18">
      <x:c r="Z18">
        <x:f>SUMIF(A1:A5,"&gt;2")</x:f>
        <x:v>12</x:v>
      </x:c>
    </x:row>
    <x:row r="19">
      <x:c r="Z19">
        <x:f>SUMIFS(F1:F3,E1:E3,"y")</x:f>
        <x:v>200</x:v>
      </x:c>
    </x:row>
    <x:row r="20">
      <x:c r="Z20">
        <x:f>COUNTIF(A1:A5,"&gt;=3")</x:f>
        <x:v>3</x:v>
      </x:c>
    </x:row>
    <x:row r="21">
      <x:c r="Z21">
        <x:f>COUNTIFS(A1:A5,"&gt;1",A1:A5,"&lt;5")</x:f>
        <x:v>3</x:v>
      </x:c>
    </x:row>
    <x:row r="22">
      <x:c r="Z22">
        <x:f>CEILING(4.3,1)</x:f>
        <x:v>5</x:v>
      </x:c>
    </x:row>
    <x:row r="23">
      <x:c r="Z23">
        <x:f>FLOOR(4.7,1)</x:f>
        <x:v>4</x:v>
      </x:c>
    </x:row>
    <x:row r="24">
      <x:c r="Z24">
        <x:f>_xlfn.CEILING.MATH(4.3)</x:f>
        <x:v>5</x:v>
      </x:c>
    </x:row>
    <x:row r="25">
      <x:c r="Z25">
        <x:f>_xlfn.FLOOR.MATH(4.7)</x:f>
        <x:v>4</x:v>
      </x:c>
    </x:row>
    <x:row r="26">
      <x:c r="Z26">
        <x:f>TRUNC(4.79)</x:f>
        <x:v>4</x:v>
      </x:c>
    </x:row>
    <x:row r="27">
      <x:c r="Z27">
        <x:f>SIGN(-3)</x:f>
        <x:v>-1</x:v>
      </x:c>
    </x:row>
    <x:row r="28">
      <x:c r="Z28">
        <x:f>EXP(0)</x:f>
        <x:v>1</x:v>
      </x:c>
    </x:row>
    <x:row r="29">
      <x:c r="Z29">
        <x:f>LN(1)</x:f>
        <x:v>0</x:v>
      </x:c>
    </x:row>
    <x:row r="30">
      <x:c r="Z30">
        <x:f>LOG10(1000)</x:f>
        <x:v>3</x:v>
      </x:c>
    </x:row>
    <x:row r="31">
      <x:c r="Z31">
        <x:f>LOG(8,2)</x:f>
        <x:v>3</x:v>
      </x:c>
    </x:row>
    <x:row r="32">
      <x:c r="Z32">
        <x:f>PI()</x:f>
        <x:v>3.141592653589793</x:v>
      </x:c>
    </x:row>
    <x:row r="33">
      <x:c r="Z33">
        <x:f>GCD(12,18)</x:f>
        <x:v>6</x:v>
      </x:c>
    </x:row>
    <x:row r="34">
      <x:c r="Z34">
        <x:f>LCM(4,6)</x:f>
        <x:v>12</x:v>
      </x:c>
    </x:row>
    <x:row r="35">
      <x:c r="Z35">
        <x:f>FACT(5)</x:f>
        <x:v>120</x:v>
      </x:c>
    </x:row>
    <x:row r="36">
      <x:c r="Z36">
        <x:f>COMBIN(5,2)</x:f>
        <x:v>10</x:v>
      </x:c>
    </x:row>
    <x:row r="37">
      <x:c r="Z37">
        <x:f>QUOTIENT(7,2)</x:f>
        <x:v>3</x:v>
      </x:c>
    </x:row>
    <x:row r="38">
      <x:c r="Z38">
        <x:f>EVEN(3)</x:f>
        <x:v>4</x:v>
      </x:c>
    </x:row>
    <x:row r="39">
      <x:c r="Z39">
        <x:f>ODD(2)</x:f>
        <x:v>3</x:v>
      </x:c>
    </x:row>
    <x:row r="40">
      <x:c r="Z40">
        <x:f>MROUND(10,3)</x:f>
        <x:v>9</x:v>
      </x:c>
    </x:row>
    <x:row r="41">
      <x:c r="Z41">
        <x:f>SUBTOTAL(9,A1:A5)</x:f>
        <x:v>15</x:v>
      </x:c>
    </x:row>
    <x:row r="42">
      <x:c r="Z42">
        <x:f>MEDIAN(A1:A5)</x:f>
        <x:v>3</x:v>
      </x:c>
    </x:row>
    <x:row r="43">
      <x:c r="Z43">
        <x:f>LARGE(A1:A5,2)</x:f>
        <x:v>4</x:v>
      </x:c>
    </x:row>
    <x:row r="44">
      <x:c r="Z44">
        <x:f>_xlfn.STDEV.S(A1:A5)</x:f>
        <x:v>1.5811388300841898</x:v>
      </x:c>
    </x:row>
    <x:row r="45">
      <x:c r="Z45">
        <x:f>_xlfn.VAR.S(A1:A5)</x:f>
        <x:v>2.5</x:v>
      </x:c>
    </x:row>
    <x:row r="46">
      <x:c r="Z46">
        <x:f>_xlfn.STDEV.P(A1:A5)</x:f>
        <x:v>1.4142135623730951</x:v>
      </x:c>
    </x:row>
    <x:row r="47">
      <x:c r="Z47" t="str">
        <x:f>IF(A1&gt;0,"pos","neg")</x:f>
        <x:v>pos</x:v>
      </x:c>
    </x:row>
    <x:row r="48">
      <x:c r="Z48" t="b">
        <x:f>AND(TRUE,FALSE)</x:f>
        <x:v>0</x:v>
      </x:c>
    </x:row>
    <x:row r="49">
      <x:c r="Z49" t="b">
        <x:f>OR(TRUE,FALSE)</x:f>
        <x:v>1</x:v>
      </x:c>
    </x:row>
    <x:row r="50">
      <x:c r="Z50" t="b">
        <x:f>NOT(FALSE)</x:f>
        <x:v>1</x:v>
      </x:c>
    </x:row>
    <x:row r="51">
      <x:c r="Z51" t="str">
        <x:f>IFERROR(1/0,"div")</x:f>
        <x:v>div</x:v>
      </x:c>
    </x:row>
    <x:row r="52">
      <x:c r="Z52" t="b">
        <x:f>ISBLANK(A9)</x:f>
        <x:v>1</x:v>
      </x:c>
    </x:row>
    <x:row r="53">
      <x:c r="Z53" t="b">
        <x:f>ISNUMBER(A1)</x:f>
        <x:v>1</x:v>
      </x:c>
    </x:row>
    <x:row r="54">
      <x:c r="Z54" t="b">
        <x:f>ISERROR(1/0)</x:f>
        <x:v>1</x:v>
      </x:c>
    </x:row>
    <x:row r="55">
      <x:c r="Z55" t="b">
        <x:f>ISNA(NA())</x:f>
        <x:v>1</x:v>
      </x:c>
    </x:row>
    <x:row r="56">
      <x:c r="Z56" t="b">
        <x:f>ISEVEN(4)</x:f>
        <x:v>1</x:v>
      </x:c>
    </x:row>
    <x:row r="57">
      <x:c r="Z57" t="b">
        <x:f>ISODD(4)</x:f>
        <x:v>0</x:v>
      </x:c>
    </x:row>
    <x:row r="58">
      <x:c r="Z58">
        <x:f>N(TRUE)</x:f>
        <x:v>1</x:v>
      </x:c>
    </x:row>
    <x:row r="59">
      <x:c r="Z59">
        <x:f>TYPE(1)</x:f>
        <x:v>1</x:v>
      </x:c>
    </x:row>
    <x:row r="60">
      <x:c r="Z60" t="str">
        <x:f>CONCATENATE("a","b")</x:f>
        <x:v>ab</x:v>
      </x:c>
    </x:row>
    <x:row r="61">
      <x:c r="Z61" t="str">
        <x:f>_xlfn.CONCAT(B1,"-",B2)</x:f>
        <x:v>apple-Banana</x:v>
      </x:c>
    </x:row>
    <x:row r="62">
      <x:c r="Z62" t="str">
        <x:f>_xlfn.TEXTJOIN(",",TRUE,"a","","b")</x:f>
        <x:v>a,b</x:v>
      </x:c>
    </x:row>
    <x:row r="63">
      <x:c r="Z63" t="str">
        <x:f>LEFT("hello",2)</x:f>
        <x:v>he</x:v>
      </x:c>
    </x:row>
    <x:row r="64">
      <x:c r="Z64" t="str">
        <x:f>RIGHT("hello",3)</x:f>
        <x:v>llo</x:v>
      </x:c>
    </x:row>
    <x:row r="65">
      <x:c r="Z65" t="str">
        <x:f>MID("hello",2,3)</x:f>
        <x:v>ell</x:v>
      </x:c>
    </x:row>
    <x:row r="66">
      <x:c r="Z66">
        <x:f>LEN("hello")</x:f>
        <x:v>5</x:v>
      </x:c>
    </x:row>
    <x:row r="67">
      <x:c r="Z67" t="str">
        <x:f>UPPER("abc")</x:f>
        <x:v>ABC</x:v>
      </x:c>
    </x:row>
    <x:row r="68">
      <x:c r="Z68" t="str">
        <x:f>LOWER("ABC")</x:f>
        <x:v>abc</x:v>
      </x:c>
    </x:row>
    <x:row r="69">
      <x:c r="Z69" t="str">
        <x:f>PROPER("hello world")</x:f>
        <x:v>Hello World</x:v>
      </x:c>
    </x:row>
    <x:row r="70">
      <x:c r="Z70" t="str">
        <x:f>TRIM(B3)</x:f>
        <x:v>cherry</x:v>
      </x:c>
    </x:row>
    <x:row r="71">
      <x:c r="Z71" t="str">
        <x:f>SUBSTITUTE("a-b-c","-","+")</x:f>
        <x:v>a+b+c</x:v>
      </x:c>
    </x:row>
    <x:row r="72">
      <x:c r="Z72" t="str">
        <x:f>REPLACE("hello",1,1,"J")</x:f>
        <x:v>Jello</x:v>
      </x:c>
    </x:row>
    <x:row r="73">
      <x:c r="Z73">
        <x:f>FIND("l","hello")</x:f>
        <x:v>3</x:v>
      </x:c>
    </x:row>
    <x:row r="74">
      <x:c r="Z74">
        <x:f>SEARCH("L","hello")</x:f>
        <x:v>3</x:v>
      </x:c>
    </x:row>
    <x:row r="75">
      <x:c r="Z75">
        <x:f>VALUE("42")</x:f>
        <x:v>42</x:v>
      </x:c>
    </x:row>
    <x:row r="76">
      <x:c r="Z76" t="str">
        <x:f>REPT("ab",3)</x:f>
        <x:v>ababab</x:v>
      </x:c>
    </x:row>
    <x:row r="77">
      <x:c r="Z77" t="b">
        <x:f>EXACT("a","A")</x:f>
        <x:v>0</x:v>
      </x:c>
    </x:row>
    <x:row r="78">
      <x:c r="Z78" t="str">
        <x:f>CHAR(65)</x:f>
        <x:v>A</x:v>
      </x:c>
    </x:row>
    <x:row r="79">
      <x:c r="Z79">
        <x:f>CODE("A")</x:f>
        <x:v>65</x:v>
      </x:c>
    </x:row>
    <x:row r="80">
      <x:c r="Z80" t="str">
        <x:f>T("x")</x:f>
        <x:v>x</x:v>
      </x:c>
    </x:row>
    <x:row r="81">
      <x:c r="Z81">
        <x:f>VLOOKUP("y",E1:F3,2,FALSE)</x:f>
        <x:v>200</x:v>
      </x:c>
    </x:row>
    <x:row r="82">
      <x:c r="Z82">
        <x:f>HLOOKUP("b",H6:I7,2,FALSE)</x:f>
        <x:v>2</x:v>
      </x:c>
    </x:row>
    <x:row r="83">
      <x:c r="Z83">
        <x:f>INDEX(F1:F3,2)</x:f>
        <x:v>200</x:v>
      </x:c>
    </x:row>
    <x:row r="84">
      <x:c r="Z84">
        <x:f>MATCH("z",E1:E3,0)</x:f>
        <x:v>3</x:v>
      </x:c>
    </x:row>
    <x:row r="85">
      <x:c r="Z85">
        <x:f>ROW(A3)</x:f>
        <x:v>3</x:v>
      </x:c>
    </x:row>
    <x:row r="86">
      <x:c r="Z86">
        <x:f>COLUMN(C1)</x:f>
        <x:v>3</x:v>
      </x:c>
    </x:row>
    <x:row r="87">
      <x:c r="Z87">
        <x:f>ROWS(A1:A5)</x:f>
        <x:v>5</x:v>
      </x:c>
    </x:row>
    <x:row r="88">
      <x:c r="Z88">
        <x:f>COLUMNS(A1:F1)</x:f>
        <x:v>6</x:v>
      </x:c>
    </x:row>
    <x:row r="89">
      <x:c r="Z89">
        <x:f>DATE(2026,10,6)</x:f>
        <x:v>46301</x:v>
      </x:c>
    </x:row>
    <x:row r="90">
      <x:c r="Z90">
        <x:f>YEAR(C1)</x:f>
        <x:v>2026</x:v>
      </x:c>
    </x:row>
    <x:row r="91">
      <x:c r="Z91">
        <x:f>MONTH(C1)</x:f>
        <x:v>10</x:v>
      </x:c>
    </x:row>
    <x:row r="92">
      <x:c r="Z92">
        <x:f>DAY(C1)</x:f>
        <x:v>6</x:v>
      </x:c>
    </x:row>
    <x:row r="93">
      <x:c r="Z93">
        <x:f>WEEKDAY(C1)</x:f>
        <x:v>3</x:v>
      </x:c>
    </x:row>
    <x:row r="94">
      <x:c r="Z94">
        <x:f>EDATE(C2,1)</x:f>
        <x:v>46081</x:v>
      </x:c>
    </x:row>
    <x:row r="95">
      <x:c r="Z95">
        <x:f>EOMONTH(C1,0)</x:f>
        <x:v>46326</x:v>
      </x:c>
    </x:row>
    <x:row r="96">
      <x:c r="Z96">
        <x:f>_xlfn.DAYS(C1,C2)</x:f>
        <x:v>248</x:v>
      </x:c>
    </x:row>
    <x:row r="97">
      <x:c r="Z97">
        <x:f>NETWORKDAYS(C2,C1)</x:f>
        <x:v>177</x:v>
      </x:c>
    </x:row>
    <x:row r="98">
      <x:c r="Z98">
        <x:f>WORKDAY(C2,5)</x:f>
        <x:v>46059</x:v>
      </x:c>
    </x:row>
    <x:row r="99">
      <x:c r="Z99">
        <x:f>TIME(12,0,0)</x:f>
        <x:v>0.5</x:v>
      </x:c>
    </x:row>
    <x:row r="100">
      <x:c r="Z100">
        <x:f>HOUR(0.75)</x:f>
        <x:v>18</x:v>
      </x:c>
    </x:row>
    <x:row r="101">
      <x:c r="Z101">
        <x:f>MINUTE(TIME(1,30,0))</x:f>
        <x:v>30</x:v>
      </x:c>
    </x:row>
    <x:row r="102">
      <x:c r="Z102">
        <x:f>YEARFRAC(DATE(2026,1,1),DATE(2026,7,1))</x:f>
        <x:v>0.5</x:v>
      </x:c>
    </x:row>
    <x:row r="103">
      <x:c r="Z103">
        <x:f>PMT(0.05/12,60,10000)</x:f>
        <x:v>-188.7123364401099</x:v>
      </x:c>
    </x:row>
    <x:row r="104">
      <x:c r="Z104">
        <x:f>FV(0.05,10,-100)</x:f>
        <x:v>1257.789253554884</x:v>
      </x:c>
    </x:row>
    <x:row r="105">
      <x:c r="Z105" t="e">
        <x:f>1/0</x:f>
        <x:v>#DIV/0!</x:v>
      </x:c>
    </x:row>
    <x:row r="106">
      <x:c r="Z106" t="e">
        <x:f>A1+"x"</x:f>
        <x:v>#VALUE!</x:v>
      </x:c>
    </x:row>
    <x:row r="107">
      <x:c r="Z107" t="e">
        <x:f>VLOOKUP("q",E1:F3,2,FALSE)</x:f>
        <x:v>#N/A</x:v>
      </x:c>
    </x:row>
  </x:sheetData>
</x:worksheet>
</file>